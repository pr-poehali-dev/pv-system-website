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-лист" sheetId="1" state="visible" r:id="rId1"/>
    <sheet xmlns:r="http://schemas.openxmlformats.org/officeDocument/2006/relationships" name="Методика расчёта" sheetId="2" state="visible" r:id="rId2"/>
    <sheet xmlns:r="http://schemas.openxmlformats.org/officeDocument/2006/relationships" name="Калькулятор" sheetId="3" state="visible" r:id="rId3"/>
    <sheet xmlns:r="http://schemas.openxmlformats.org/officeDocument/2006/relationships" name="Примеры расчёт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₽&quot;"/>
    <numFmt numFmtId="165" formatCode="0.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93C5FD"/>
      <sz val="10"/>
    </font>
    <font>
      <name val="Arial"/>
      <b val="1"/>
      <color rgb="000E63B0"/>
      <sz val="12"/>
    </font>
    <font>
      <name val="Arial"/>
      <b val="1"/>
      <color rgb="000D1F35"/>
      <sz val="10"/>
    </font>
    <font>
      <name val="Arial"/>
      <color rgb="000D1F35"/>
      <sz val="10"/>
    </font>
    <font>
      <name val="Arial"/>
      <b val="1"/>
      <color rgb="00FFFFFF"/>
      <sz val="10"/>
    </font>
    <font>
      <name val="Arial"/>
      <b val="1"/>
      <color rgb="000E63B0"/>
      <sz val="10"/>
    </font>
    <font>
      <name val="Arial"/>
      <b val="1"/>
      <color rgb="000E63B0"/>
      <sz val="11"/>
    </font>
    <font>
      <name val="Arial"/>
      <color rgb="005A6E82"/>
      <sz val="9"/>
    </font>
    <font>
      <name val="Arial"/>
      <b val="1"/>
      <color rgb="000E63B0"/>
      <sz val="13"/>
    </font>
    <font>
      <name val="Arial"/>
      <i val="1"/>
      <color rgb="005A6E82"/>
      <sz val="9"/>
    </font>
    <font>
      <name val="Arial"/>
      <b val="1"/>
      <color rgb="00FFFFFF"/>
      <sz val="12"/>
    </font>
    <font>
      <name val="Arial"/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0D1F35"/>
      </patternFill>
    </fill>
    <fill>
      <patternFill patternType="solid">
        <fgColor rgb="000E63B0"/>
      </patternFill>
    </fill>
    <fill>
      <patternFill patternType="solid">
        <fgColor rgb="00E8F4FD"/>
      </patternFill>
    </fill>
    <fill>
      <patternFill patternType="solid">
        <fgColor rgb="00F4F7FB"/>
      </patternFill>
    </fill>
    <fill>
      <patternFill patternType="solid">
        <fgColor rgb="00FFF7D6"/>
      </patternFill>
    </fill>
  </fills>
  <borders count="7">
    <border>
      <left/>
      <right/>
      <top/>
      <bottom/>
      <diagonal/>
    </border>
    <border>
      <bottom style="medium">
        <color rgb="000E63B0"/>
      </bottom>
    </border>
    <border>
      <left style="thin">
        <color rgb="00BFD3E6"/>
      </left>
      <right style="thin">
        <color rgb="00BFD3E6"/>
      </right>
      <top style="thin">
        <color rgb="00BFD3E6"/>
      </top>
      <bottom style="thin">
        <color rgb="00BFD3E6"/>
      </bottom>
    </border>
    <border>
      <left/>
      <right/>
      <top style="thin">
        <color rgb="00BFD3E6"/>
      </top>
      <bottom/>
      <diagonal/>
    </border>
    <border>
      <left/>
      <right style="thin">
        <color rgb="00BFD3E6"/>
      </right>
      <top style="thin">
        <color rgb="00BFD3E6"/>
      </top>
      <bottom/>
      <diagonal/>
    </border>
    <border>
      <left/>
      <right/>
      <top style="thin">
        <color rgb="00BFD3E6"/>
      </top>
      <bottom style="thin">
        <color rgb="00BFD3E6"/>
      </bottom>
      <diagonal/>
    </border>
    <border>
      <left/>
      <right style="thin">
        <color rgb="00BFD3E6"/>
      </right>
      <top style="thin">
        <color rgb="00BFD3E6"/>
      </top>
      <bottom style="thin">
        <color rgb="00BFD3E6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top"/>
    </xf>
    <xf numFmtId="0" fontId="0" fillId="3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4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0" fillId="0" borderId="2" pivotButton="0" quotePrefix="0" xfId="0"/>
    <xf numFmtId="0" fontId="6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164" fontId="5" fillId="0" borderId="2" applyAlignment="1" pivotButton="0" quotePrefix="0" xfId="0">
      <alignment horizontal="right" vertical="center"/>
    </xf>
    <xf numFmtId="0" fontId="5" fillId="5" borderId="2" applyAlignment="1" pivotButton="0" quotePrefix="0" xfId="0">
      <alignment vertical="center" wrapText="1"/>
    </xf>
    <xf numFmtId="0" fontId="5" fillId="5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right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9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10" fillId="4" borderId="0" applyAlignment="1" pivotButton="0" quotePrefix="0" xfId="0">
      <alignment horizontal="center" vertical="center" wrapText="1"/>
    </xf>
    <xf numFmtId="2" fontId="5" fillId="0" borderId="2" applyAlignment="1" pivotButton="0" quotePrefix="0" xfId="0">
      <alignment horizontal="center" vertical="center" wrapText="1"/>
    </xf>
    <xf numFmtId="2" fontId="5" fillId="5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 wrapText="1"/>
    </xf>
    <xf numFmtId="0" fontId="8" fillId="6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 wrapText="1"/>
    </xf>
    <xf numFmtId="165" fontId="8" fillId="6" borderId="2" applyAlignment="1" pivotButton="0" quotePrefix="0" xfId="0">
      <alignment horizontal="center" vertical="center" wrapText="1"/>
    </xf>
    <xf numFmtId="1" fontId="8" fillId="6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164" fontId="4" fillId="0" borderId="2" applyAlignment="1" pivotButton="0" quotePrefix="0" xfId="0">
      <alignment horizontal="right" vertical="center"/>
    </xf>
    <xf numFmtId="2" fontId="4" fillId="0" borderId="2" applyAlignment="1" pivotButton="0" quotePrefix="0" xfId="0">
      <alignment horizontal="right" vertical="center"/>
    </xf>
    <xf numFmtId="1" fontId="4" fillId="0" borderId="2" applyAlignment="1" pivotButton="0" quotePrefix="0" xfId="0">
      <alignment horizontal="right" vertical="center"/>
    </xf>
    <xf numFmtId="0" fontId="12" fillId="3" borderId="2" pivotButton="0" quotePrefix="0" xfId="0"/>
    <xf numFmtId="164" fontId="13" fillId="3" borderId="2" applyAlignment="1" pivotButton="0" quotePrefix="0" xfId="0">
      <alignment horizontal="right" vertical="center"/>
    </xf>
    <xf numFmtId="0" fontId="0" fillId="3" borderId="2" pivotButton="0" quotePrefix="0" xfId="0"/>
    <xf numFmtId="49" fontId="4" fillId="0" borderId="2" applyAlignment="1" pivotButton="0" quotePrefix="0" xfId="0">
      <alignment horizontal="right" vertical="center"/>
    </xf>
    <xf numFmtId="1" fontId="5" fillId="0" borderId="2" applyAlignment="1" pivotButton="0" quotePrefix="0" xfId="0">
      <alignment horizontal="center" vertical="center" wrapText="1"/>
    </xf>
    <xf numFmtId="164" fontId="7" fillId="0" borderId="2" applyAlignment="1" pivotButton="0" quotePrefix="0" xfId="0">
      <alignment horizontal="right" vertical="center"/>
    </xf>
    <xf numFmtId="1" fontId="5" fillId="5" borderId="2" applyAlignment="1" pivotButton="0" quotePrefix="0" xfId="0">
      <alignment horizontal="center" vertical="center" wrapText="1"/>
    </xf>
    <xf numFmtId="164" fontId="7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1910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41910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41910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41910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0E63B0"/>
    <outlinePr summaryBelow="1" summaryRight="1"/>
    <pageSetUpPr fitToPage="1"/>
  </sheetPr>
  <dimension ref="A1:E3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4" customWidth="1" min="3" max="3"/>
    <col width="22" customWidth="1" min="4" max="4"/>
    <col width="22" customWidth="1" min="5" max="5"/>
  </cols>
  <sheetData>
    <row r="1" ht="14" customHeight="1">
      <c r="A1" s="1" t="n"/>
      <c r="B1" s="1" t="n"/>
      <c r="C1" s="1" t="n"/>
      <c r="D1" s="1" t="n"/>
      <c r="E1" s="1" t="n"/>
    </row>
    <row r="2" ht="34" customHeight="1">
      <c r="A2" s="1" t="n"/>
      <c r="B2" s="2" t="inlineStr">
        <is>
          <t xml:space="preserve">      ПРАЙС-ЛИСТ НА ПРОГРАММНЫЙ КОМПЛЕКС «ПВ-СИСТЕМА»</t>
        </is>
      </c>
    </row>
    <row r="3" ht="22" customHeight="1">
      <c r="A3" s="1" t="n"/>
      <c r="B3" s="3" t="inlineStr">
        <is>
          <t xml:space="preserve">      Проектирование вентиляции и водоснабжения горно-рудных предприятий · действует с 10.10.2026</t>
        </is>
      </c>
    </row>
    <row r="4" ht="4" customHeight="1">
      <c r="A4" s="4" t="n"/>
      <c r="B4" s="4" t="n"/>
      <c r="C4" s="4" t="n"/>
      <c r="D4" s="4" t="n"/>
      <c r="E4" s="4" t="n"/>
    </row>
    <row r="6" ht="24" customHeight="1">
      <c r="A6" s="5" t="inlineStr">
        <is>
          <t>1. Сведения о программном обеспечении</t>
        </is>
      </c>
      <c r="B6" s="6" t="n"/>
      <c r="C6" s="6" t="n"/>
      <c r="D6" s="6" t="n"/>
      <c r="E6" s="6" t="n"/>
    </row>
    <row r="7" ht="20" customHeight="1">
      <c r="A7" s="7" t="inlineStr">
        <is>
          <t>Наименование ПО</t>
        </is>
      </c>
      <c r="B7" s="8" t="inlineStr">
        <is>
          <t>Программный комплекс «ПВ-Система»</t>
        </is>
      </c>
      <c r="C7" s="9" t="n"/>
      <c r="D7" s="9" t="n"/>
      <c r="E7" s="9" t="n"/>
    </row>
    <row r="8" ht="20" customHeight="1">
      <c r="A8" s="7" t="inlineStr">
        <is>
          <t>Правообладатель</t>
        </is>
      </c>
      <c r="B8" s="8" t="inlineStr">
        <is>
          <t>ООО «ПВ-Система»</t>
        </is>
      </c>
      <c r="C8" s="9" t="n"/>
      <c r="D8" s="9" t="n"/>
      <c r="E8" s="9" t="n"/>
    </row>
    <row r="9" ht="20" customHeight="1">
      <c r="A9" s="7" t="inlineStr">
        <is>
          <t>Класс ПО</t>
        </is>
      </c>
      <c r="B9" s="8" t="inlineStr">
        <is>
          <t>Средства инженерного проектирования и расчётов (САПР, CAE)</t>
        </is>
      </c>
      <c r="C9" s="9" t="n"/>
      <c r="D9" s="9" t="n"/>
      <c r="E9" s="9" t="n"/>
    </row>
    <row r="10" ht="32" customHeight="1">
      <c r="A10" s="7" t="inlineStr">
        <is>
          <t>Назначение</t>
        </is>
      </c>
      <c r="B10" s="8" t="inlineStr">
        <is>
          <t>Расчёт воздухораспределения, водоснабжения и противоаварийной устойчивости горно-рудных предприятий; задачи плана ликвидации аварии (ПЛА)</t>
        </is>
      </c>
      <c r="C10" s="9" t="n"/>
      <c r="D10" s="9" t="n"/>
      <c r="E10" s="9" t="n"/>
    </row>
    <row r="11" ht="20" customHeight="1">
      <c r="A11" s="7" t="inlineStr">
        <is>
          <t>Способ распространения</t>
        </is>
      </c>
      <c r="B11" s="8" t="inlineStr">
        <is>
          <t>Лицензионный ключ на рабочее место (ПК), передаётся в электронном виде</t>
        </is>
      </c>
      <c r="C11" s="9" t="n"/>
      <c r="D11" s="9" t="n"/>
      <c r="E11" s="9" t="n"/>
    </row>
    <row r="12" ht="20" customHeight="1">
      <c r="A12" s="7" t="inlineStr">
        <is>
          <t>Сайт программы</t>
        </is>
      </c>
      <c r="B12" s="8" t="inlineStr">
        <is>
          <t>пв-система.рф</t>
        </is>
      </c>
      <c r="C12" s="9" t="n"/>
      <c r="D12" s="9" t="n"/>
      <c r="E12" s="9" t="n"/>
    </row>
    <row r="14" ht="24" customHeight="1">
      <c r="A14" s="5" t="inlineStr">
        <is>
          <t>2. Стоимость лицензий</t>
        </is>
      </c>
      <c r="B14" s="6" t="n"/>
      <c r="C14" s="6" t="n"/>
      <c r="D14" s="6" t="n"/>
      <c r="E14" s="6" t="n"/>
    </row>
    <row r="15" ht="30" customHeight="1">
      <c r="A15" s="10" t="inlineStr">
        <is>
          <t>Наименование позиции</t>
        </is>
      </c>
      <c r="B15" s="10" t="inlineStr">
        <is>
          <t>Ед. изм.</t>
        </is>
      </c>
      <c r="C15" s="10" t="inlineStr">
        <is>
          <t>Кол-во рабочих мест</t>
        </is>
      </c>
      <c r="D15" s="10" t="inlineStr">
        <is>
          <t>Цена за рабочее место, ₽</t>
        </is>
      </c>
      <c r="E15" s="10" t="inlineStr">
        <is>
          <t>Стоимость, ₽</t>
        </is>
      </c>
    </row>
    <row r="16" ht="32" customHeight="1">
      <c r="A16" s="8" t="inlineStr">
        <is>
          <t>Лицензионный ключ «ПВ-Система» на одно рабочее место (ПК)</t>
        </is>
      </c>
      <c r="B16" s="11" t="inlineStr">
        <is>
          <t>лицензия</t>
        </is>
      </c>
      <c r="C16" s="11" t="n">
        <v>1</v>
      </c>
      <c r="D16" s="12" t="n">
        <v>240000</v>
      </c>
      <c r="E16" s="12">
        <f>C16*D16</f>
        <v/>
      </c>
    </row>
    <row r="17" ht="32" customHeight="1">
      <c r="A17" s="13" t="inlineStr">
        <is>
          <t>Базовый пакет «ПВ-Система» — 5 рабочих мест</t>
        </is>
      </c>
      <c r="B17" s="14" t="inlineStr">
        <is>
          <t>пакет</t>
        </is>
      </c>
      <c r="C17" s="14" t="n">
        <v>5</v>
      </c>
      <c r="D17" s="15">
        <f>E17/C17</f>
        <v/>
      </c>
      <c r="E17" s="15" t="n">
        <v>1200000</v>
      </c>
    </row>
    <row r="18" ht="44" customHeight="1">
      <c r="A18" s="8" t="inlineStr">
        <is>
          <t>Индивидуальная лицензия — расчёт по протяжённости сети горных выработок и коэффициенту сложности</t>
        </is>
      </c>
      <c r="B18" s="11" t="inlineStr">
        <is>
          <t>лицензия</t>
        </is>
      </c>
      <c r="C18" s="11" t="inlineStr">
        <is>
          <t>по расчёту</t>
        </is>
      </c>
      <c r="D18" s="11" t="inlineStr">
        <is>
          <t>—</t>
        </is>
      </c>
      <c r="E18" s="16" t="inlineStr">
        <is>
          <t>см. лист «Калькулятор»</t>
        </is>
      </c>
    </row>
    <row r="20" ht="24" customHeight="1">
      <c r="A20" s="5" t="inlineStr">
        <is>
          <t>3. В стоимость лицензии входит</t>
        </is>
      </c>
      <c r="B20" s="6" t="n"/>
      <c r="C20" s="6" t="n"/>
      <c r="D20" s="6" t="n"/>
      <c r="E20" s="6" t="n"/>
    </row>
    <row r="21">
      <c r="A21" s="17" t="inlineStr">
        <is>
          <t>✓</t>
        </is>
      </c>
      <c r="B21" s="18" t="inlineStr">
        <is>
          <t>Установка и активация программного комплекса на рабочих местах заказчика</t>
        </is>
      </c>
    </row>
    <row r="22">
      <c r="A22" s="17" t="inlineStr">
        <is>
          <t>✓</t>
        </is>
      </c>
      <c r="B22" s="18" t="inlineStr">
        <is>
          <t>Эксплуатационная документация пользователя на русском языке</t>
        </is>
      </c>
    </row>
    <row r="23">
      <c r="A23" s="17" t="inlineStr">
        <is>
          <t>✓</t>
        </is>
      </c>
      <c r="B23" s="18" t="inlineStr">
        <is>
          <t>Техническая поддержка по телефону и электронной почте</t>
        </is>
      </c>
    </row>
    <row r="24">
      <c r="A24" s="17" t="inlineStr">
        <is>
          <t>✓</t>
        </is>
      </c>
      <c r="B24" s="18" t="inlineStr">
        <is>
          <t>Обновления программного комплекса в течение срока действия лицензии</t>
        </is>
      </c>
    </row>
    <row r="26" ht="24" customHeight="1">
      <c r="A26" s="5" t="inlineStr">
        <is>
          <t>4. Условия</t>
        </is>
      </c>
      <c r="B26" s="6" t="n"/>
      <c r="C26" s="6" t="n"/>
      <c r="D26" s="6" t="n"/>
      <c r="E26" s="6" t="n"/>
    </row>
    <row r="27" ht="30" customHeight="1">
      <c r="A27" s="19" t="inlineStr">
        <is>
          <t>•  Цены указаны в российских рублях. НДС не облагается на основании подп. 26 п. 2 ст. 149 НК РФ (передача прав на ПО, включённое в Единый реестр российских программ).</t>
        </is>
      </c>
    </row>
    <row r="28" ht="30" customHeight="1">
      <c r="A28" s="19" t="inlineStr">
        <is>
          <t>•  Обучение пользователей (курс 40 академических часов) оплачивается отдельно по договорённости.</t>
        </is>
      </c>
    </row>
    <row r="29" ht="30" customHeight="1">
      <c r="A29" s="19" t="inlineStr">
        <is>
          <t>•  Лицензионный ключ передаётся в течение 3 рабочих дней после оплаты.</t>
        </is>
      </c>
    </row>
    <row r="30" ht="30" customHeight="1">
      <c r="A30" s="19" t="inlineStr">
        <is>
          <t>•  Окончательная стоимость индивидуальной лицензии фиксируется в коммерческом предложении и лицензионном договоре.</t>
        </is>
      </c>
    </row>
    <row r="32">
      <c r="A32" s="20" t="inlineStr">
        <is>
          <t>ООО «ПВ-Система» · Республика Башкортостан, г. Сибай, ул. Куйбышева, д. 20</t>
        </is>
      </c>
      <c r="B32" s="21" t="n"/>
      <c r="C32" s="21" t="n"/>
      <c r="D32" s="21" t="n"/>
      <c r="E32" s="21" t="n"/>
    </row>
    <row r="33">
      <c r="A33" s="20" t="inlineStr">
        <is>
          <t>Тел.: +7 (960) 392-42-55, +7 (933) 044-70-17 · pvsistema@mail.ru · пв-система.рф</t>
        </is>
      </c>
      <c r="B33" s="21" t="n"/>
      <c r="C33" s="21" t="n"/>
      <c r="D33" s="21" t="n"/>
      <c r="E33" s="21" t="n"/>
    </row>
  </sheetData>
  <mergeCells count="22">
    <mergeCell ref="A30:E30"/>
    <mergeCell ref="B9:E9"/>
    <mergeCell ref="B24:E24"/>
    <mergeCell ref="A6:E6"/>
    <mergeCell ref="B7:E7"/>
    <mergeCell ref="B3:E3"/>
    <mergeCell ref="B22:E22"/>
    <mergeCell ref="A27:E27"/>
    <mergeCell ref="A26:E26"/>
    <mergeCell ref="B12:E12"/>
    <mergeCell ref="B21:E21"/>
    <mergeCell ref="A33:E33"/>
    <mergeCell ref="B11:E11"/>
    <mergeCell ref="A32:E32"/>
    <mergeCell ref="B2:E2"/>
    <mergeCell ref="A14:E14"/>
    <mergeCell ref="B23:E23"/>
    <mergeCell ref="A29:E29"/>
    <mergeCell ref="B8:E8"/>
    <mergeCell ref="A20:E20"/>
    <mergeCell ref="A28:E28"/>
    <mergeCell ref="B10:E10"/>
  </mergeCells>
  <printOptions horizontalCentered="1"/>
  <pageMargins left="0.75" right="0.75" top="1" bottom="1" header="0.5" footer="0.5"/>
  <pageSetup orientation="portrait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E63B0"/>
    <outlinePr summaryBelow="1" summaryRight="1"/>
    <pageSetUpPr fitToPage="1"/>
  </sheetPr>
  <dimension ref="A1:E3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8" customWidth="1" min="3" max="3"/>
    <col width="18" customWidth="1" min="4" max="4"/>
    <col width="18" customWidth="1" min="5" max="5"/>
  </cols>
  <sheetData>
    <row r="1" ht="14" customHeight="1">
      <c r="A1" s="1" t="n"/>
      <c r="B1" s="1" t="n"/>
      <c r="C1" s="1" t="n"/>
      <c r="D1" s="1" t="n"/>
      <c r="E1" s="1" t="n"/>
    </row>
    <row r="2" ht="34" customHeight="1">
      <c r="A2" s="1" t="n"/>
      <c r="B2" s="2" t="inlineStr">
        <is>
          <t xml:space="preserve">      МЕТОДИКА РАСЧЁТА СТОИМОСТИ ЛИЦЕНЗИИ</t>
        </is>
      </c>
    </row>
    <row r="3" ht="22" customHeight="1">
      <c r="A3" s="1" t="n"/>
      <c r="B3" s="3" t="inlineStr">
        <is>
          <t xml:space="preserve">      Индивидуальный расчёт по параметрам горного предприятия</t>
        </is>
      </c>
    </row>
    <row r="4" ht="4" customHeight="1">
      <c r="A4" s="4" t="n"/>
      <c r="B4" s="4" t="n"/>
      <c r="C4" s="4" t="n"/>
      <c r="D4" s="4" t="n"/>
      <c r="E4" s="4" t="n"/>
    </row>
    <row r="6" ht="24" customHeight="1">
      <c r="A6" s="5" t="inlineStr">
        <is>
          <t>Формула расчёта</t>
        </is>
      </c>
      <c r="B6" s="6" t="n"/>
      <c r="C6" s="6" t="n"/>
      <c r="D6" s="6" t="n"/>
      <c r="E6" s="6" t="n"/>
    </row>
    <row r="7" ht="40" customHeight="1">
      <c r="A7" s="22" t="inlineStr">
        <is>
          <t>Стоимость = Базовая стоимость × Kпр × Kсл  +  Доп. рабочие места × 240 000 ₽</t>
        </is>
      </c>
    </row>
    <row r="8" ht="20" customHeight="1">
      <c r="A8" s="19" t="inlineStr">
        <is>
          <t>•  Базовая стоимость — 1 200 000 ₽ (базовый пакет на 5 рабочих мест, сеть горных выработок до 50 км, категория сложности I).</t>
        </is>
      </c>
    </row>
    <row r="9" ht="20" customHeight="1">
      <c r="A9" s="19" t="inlineStr">
        <is>
          <t>•  Kпр — коэффициент протяжённости сети горных выработок (таблица 1).</t>
        </is>
      </c>
    </row>
    <row r="10" ht="20" customHeight="1">
      <c r="A10" s="19" t="inlineStr">
        <is>
          <t>•  Kсл — коэффициент сложности вентиляционной сети (таблица 2).</t>
        </is>
      </c>
    </row>
    <row r="11" ht="20" customHeight="1">
      <c r="A11" s="19" t="inlineStr">
        <is>
          <t>•  Доп. рабочие места — рабочие места сверх пяти, входящих в базовый пакет.</t>
        </is>
      </c>
    </row>
    <row r="13" ht="24" customHeight="1">
      <c r="A13" s="5" t="inlineStr">
        <is>
          <t>Таблица 1. Коэффициент протяжённости сети горных выработок (Kпр)</t>
        </is>
      </c>
      <c r="B13" s="6" t="n"/>
      <c r="C13" s="6" t="n"/>
      <c r="D13" s="6" t="n"/>
      <c r="E13" s="6" t="n"/>
    </row>
    <row r="14" ht="30" customHeight="1">
      <c r="A14" s="10" t="inlineStr">
        <is>
          <t>Протяжённость сети, км</t>
        </is>
      </c>
      <c r="B14" s="10" t="inlineStr">
        <is>
          <t>Описание</t>
        </is>
      </c>
      <c r="C14" s="10" t="inlineStr">
        <is>
          <t>От, км</t>
        </is>
      </c>
      <c r="D14" s="10" t="inlineStr">
        <is>
          <t>До, км</t>
        </is>
      </c>
      <c r="E14" s="10" t="inlineStr">
        <is>
          <t>Kпр</t>
        </is>
      </c>
    </row>
    <row r="15">
      <c r="A15" s="8" t="inlineStr">
        <is>
          <t>до 50 км</t>
        </is>
      </c>
      <c r="B15" s="8" t="inlineStr">
        <is>
          <t>Небольшой рудник, один-два участка</t>
        </is>
      </c>
      <c r="C15" s="11" t="n">
        <v>0</v>
      </c>
      <c r="D15" s="11" t="n">
        <v>50</v>
      </c>
      <c r="E15" s="23" t="n">
        <v>1</v>
      </c>
    </row>
    <row r="16">
      <c r="A16" s="13" t="inlineStr">
        <is>
          <t>50–100 км</t>
        </is>
      </c>
      <c r="B16" s="13" t="inlineStr">
        <is>
          <t>Средний рудник</t>
        </is>
      </c>
      <c r="C16" s="14" t="n">
        <v>50</v>
      </c>
      <c r="D16" s="14" t="n">
        <v>100</v>
      </c>
      <c r="E16" s="24" t="n">
        <v>1.3</v>
      </c>
    </row>
    <row r="17">
      <c r="A17" s="8" t="inlineStr">
        <is>
          <t>100–200 км</t>
        </is>
      </c>
      <c r="B17" s="8" t="inlineStr">
        <is>
          <t>Крупный рудник</t>
        </is>
      </c>
      <c r="C17" s="11" t="n">
        <v>100</v>
      </c>
      <c r="D17" s="11" t="n">
        <v>200</v>
      </c>
      <c r="E17" s="23" t="n">
        <v>1.6</v>
      </c>
    </row>
    <row r="18">
      <c r="A18" s="13" t="inlineStr">
        <is>
          <t>200–350 км</t>
        </is>
      </c>
      <c r="B18" s="13" t="inlineStr">
        <is>
          <t>Рудник с несколькими шахтными полями</t>
        </is>
      </c>
      <c r="C18" s="14" t="n">
        <v>200</v>
      </c>
      <c r="D18" s="14" t="n">
        <v>350</v>
      </c>
      <c r="E18" s="24" t="n">
        <v>2</v>
      </c>
    </row>
    <row r="19">
      <c r="A19" s="8" t="inlineStr">
        <is>
          <t>свыше 350 км</t>
        </is>
      </c>
      <c r="B19" s="8" t="inlineStr">
        <is>
          <t>Горно-обогатительный комбинат, объединённая сеть</t>
        </is>
      </c>
      <c r="C19" s="11" t="n">
        <v>350</v>
      </c>
      <c r="D19" s="11" t="inlineStr">
        <is>
          <t>—</t>
        </is>
      </c>
      <c r="E19" s="23" t="n">
        <v>2.5</v>
      </c>
    </row>
    <row r="21" ht="24" customHeight="1">
      <c r="A21" s="5" t="inlineStr">
        <is>
          <t>Таблица 2. Коэффициент сложности вентиляционной сети (Kсл)</t>
        </is>
      </c>
      <c r="B21" s="6" t="n"/>
      <c r="C21" s="6" t="n"/>
      <c r="D21" s="6" t="n"/>
      <c r="E21" s="6" t="n"/>
    </row>
    <row r="22" ht="30" customHeight="1">
      <c r="A22" s="10" t="inlineStr">
        <is>
          <t>Категория сложности</t>
        </is>
      </c>
      <c r="B22" s="10" t="inlineStr">
        <is>
          <t>Характерные признаки сети</t>
        </is>
      </c>
      <c r="C22" s="10" t="inlineStr">
        <is>
          <t>Кол-во ветвей</t>
        </is>
      </c>
      <c r="D22" s="10" t="inlineStr">
        <is>
          <t>Вентиляторы главного проветривания</t>
        </is>
      </c>
      <c r="E22" s="10" t="inlineStr">
        <is>
          <t>Kсл</t>
        </is>
      </c>
    </row>
    <row r="23" ht="42" customHeight="1">
      <c r="A23" s="8" t="inlineStr">
        <is>
          <t>I — простая</t>
        </is>
      </c>
      <c r="B23" s="8" t="inlineStr">
        <is>
          <t>Один горизонт, одна вентиляторная установка, без пожарно-оросительного трубопровода</t>
        </is>
      </c>
      <c r="C23" s="11" t="inlineStr">
        <is>
          <t>до 500</t>
        </is>
      </c>
      <c r="D23" s="11" t="inlineStr">
        <is>
          <t>1</t>
        </is>
      </c>
      <c r="E23" s="23" t="n">
        <v>1</v>
      </c>
    </row>
    <row r="24" ht="42" customHeight="1">
      <c r="A24" s="13" t="inlineStr">
        <is>
          <t>II — средняя</t>
        </is>
      </c>
      <c r="B24" s="13" t="inlineStr">
        <is>
          <t>2–3 горизонта, несколько стволов, пожарно-оросительный трубопровод</t>
        </is>
      </c>
      <c r="C24" s="14" t="inlineStr">
        <is>
          <t>500–1 500</t>
        </is>
      </c>
      <c r="D24" s="14" t="inlineStr">
        <is>
          <t>1–2</t>
        </is>
      </c>
      <c r="E24" s="24" t="n">
        <v>1.2</v>
      </c>
    </row>
    <row r="25" ht="42" customHeight="1">
      <c r="A25" s="8" t="inlineStr">
        <is>
          <t>III — сложная</t>
        </is>
      </c>
      <c r="B25" s="8" t="inlineStr">
        <is>
          <t>Многогоризонтная сеть, участковые вентиляторы, диагонали, естественная тяга</t>
        </is>
      </c>
      <c r="C25" s="11" t="inlineStr">
        <is>
          <t>1 500–3 000</t>
        </is>
      </c>
      <c r="D25" s="11" t="inlineStr">
        <is>
          <t>2–3</t>
        </is>
      </c>
      <c r="E25" s="23" t="n">
        <v>1.4</v>
      </c>
    </row>
    <row r="26" ht="42" customHeight="1">
      <c r="A26" s="13" t="inlineStr">
        <is>
          <t>IV — особо сложная</t>
        </is>
      </c>
      <c r="B26" s="13" t="inlineStr">
        <is>
          <t>Несколько шахтных полей, связанные сети, глубокие горизонты, повышенные требования ПЛА</t>
        </is>
      </c>
      <c r="C26" s="14" t="inlineStr">
        <is>
          <t>свыше 3 000</t>
        </is>
      </c>
      <c r="D26" s="14" t="inlineStr">
        <is>
          <t>4 и более</t>
        </is>
      </c>
      <c r="E26" s="24" t="n">
        <v>1.7</v>
      </c>
    </row>
    <row r="28" ht="32" customHeight="1">
      <c r="A28" s="25" t="inlineStr">
        <is>
          <t>Категория сложности определяется по совокупности признаков на основании схемы вентиляции рудника, предоставленной заказчиком. При несовпадении признаков принимается более высокая категория.</t>
        </is>
      </c>
    </row>
    <row r="30">
      <c r="A30" s="20" t="inlineStr">
        <is>
          <t>ООО «ПВ-Система» · Республика Башкортостан, г. Сибай, ул. Куйбышева, д. 20</t>
        </is>
      </c>
      <c r="B30" s="21" t="n"/>
      <c r="C30" s="21" t="n"/>
      <c r="D30" s="21" t="n"/>
      <c r="E30" s="21" t="n"/>
    </row>
    <row r="31">
      <c r="A31" s="20" t="inlineStr">
        <is>
          <t>Тел.: +7 (960) 392-42-55, +7 (933) 044-70-17 · pvsistema@mail.ru · пв-система.рф</t>
        </is>
      </c>
      <c r="B31" s="21" t="n"/>
      <c r="C31" s="21" t="n"/>
      <c r="D31" s="21" t="n"/>
      <c r="E31" s="21" t="n"/>
    </row>
  </sheetData>
  <mergeCells count="13">
    <mergeCell ref="A21:E21"/>
    <mergeCell ref="A30:E30"/>
    <mergeCell ref="A7:E7"/>
    <mergeCell ref="A10:E10"/>
    <mergeCell ref="A28:E28"/>
    <mergeCell ref="A11:E11"/>
    <mergeCell ref="B3:E3"/>
    <mergeCell ref="B2:E2"/>
    <mergeCell ref="A8:E8"/>
    <mergeCell ref="A13:E13"/>
    <mergeCell ref="A6:E6"/>
    <mergeCell ref="A31:E31"/>
    <mergeCell ref="A9:E9"/>
  </mergeCells>
  <pageMargins left="0.75" right="0.75" top="1" bottom="1" header="0.5" footer="0.5"/>
  <pageSetup orientation="landscape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F2B705"/>
    <outlinePr summaryBelow="1" summaryRight="1"/>
    <pageSetUpPr fitToPage="1"/>
  </sheetPr>
  <dimension ref="A1:D27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  <col width="22" customWidth="1" min="4" max="4"/>
  </cols>
  <sheetData>
    <row r="1" ht="14" customHeight="1">
      <c r="A1" s="1" t="n"/>
      <c r="B1" s="1" t="n"/>
      <c r="C1" s="1" t="n"/>
      <c r="D1" s="1" t="n"/>
    </row>
    <row r="2" ht="34" customHeight="1">
      <c r="A2" s="1" t="n"/>
      <c r="B2" s="2" t="inlineStr">
        <is>
          <t xml:space="preserve">      КАЛЬКУЛЯТОР СТОИМОСТИ ЛИЦЕНЗИИ</t>
        </is>
      </c>
    </row>
    <row r="3" ht="22" customHeight="1">
      <c r="A3" s="1" t="n"/>
      <c r="B3" s="3" t="inlineStr">
        <is>
          <t xml:space="preserve">      Заполните поля, выделенные жёлтым — расчёт выполнится автоматически</t>
        </is>
      </c>
    </row>
    <row r="4" ht="4" customHeight="1">
      <c r="A4" s="4" t="n"/>
      <c r="B4" s="4" t="n"/>
      <c r="C4" s="4" t="n"/>
      <c r="D4" s="4" t="n"/>
    </row>
    <row r="6" ht="24" customHeight="1">
      <c r="A6" s="5" t="inlineStr">
        <is>
          <t>Исходные данные предприятия</t>
        </is>
      </c>
      <c r="B6" s="6" t="n"/>
      <c r="C6" s="6" t="n"/>
      <c r="D6" s="6" t="n"/>
    </row>
    <row r="7">
      <c r="A7" s="7" t="inlineStr">
        <is>
          <t>Наименование предприятия</t>
        </is>
      </c>
      <c r="B7" s="26" t="inlineStr">
        <is>
          <t>Рудник (пример)</t>
        </is>
      </c>
      <c r="C7" s="27" t="inlineStr"/>
    </row>
    <row r="8">
      <c r="A8" s="7" t="inlineStr">
        <is>
          <t>Протяжённость сети горных выработок, км</t>
        </is>
      </c>
      <c r="B8" s="28" t="n">
        <v>120</v>
      </c>
      <c r="C8" s="27" t="inlineStr">
        <is>
          <t>Суммарная длина выработок по схеме вентиляции</t>
        </is>
      </c>
    </row>
    <row r="9">
      <c r="A9" s="7" t="inlineStr">
        <is>
          <t>Категория сложности сети</t>
        </is>
      </c>
      <c r="B9" s="26" t="inlineStr">
        <is>
          <t>II — средняя</t>
        </is>
      </c>
      <c r="C9" s="27" t="inlineStr">
        <is>
          <t>Выбор из списка, см. «Методика расчёта», табл. 2</t>
        </is>
      </c>
    </row>
    <row r="10">
      <c r="A10" s="7" t="inlineStr">
        <is>
          <t>Количество рабочих мест</t>
        </is>
      </c>
      <c r="B10" s="29" t="n">
        <v>7</v>
      </c>
      <c r="C10" s="27" t="inlineStr">
        <is>
          <t>Компьютеры, на которых будет работать программа</t>
        </is>
      </c>
    </row>
    <row r="12" ht="24" customHeight="1">
      <c r="A12" s="5" t="inlineStr">
        <is>
          <t>Расчёт</t>
        </is>
      </c>
      <c r="B12" s="6" t="n"/>
      <c r="C12" s="6" t="n"/>
      <c r="D12" s="6" t="n"/>
    </row>
    <row r="13" ht="30" customHeight="1">
      <c r="A13" s="10" t="inlineStr">
        <is>
          <t>Показатель</t>
        </is>
      </c>
      <c r="B13" s="10" t="inlineStr">
        <is>
          <t>Значение</t>
        </is>
      </c>
      <c r="C13" s="30" t="n"/>
      <c r="D13" s="31" t="n"/>
    </row>
    <row r="14">
      <c r="A14" s="8" t="inlineStr">
        <is>
          <t>Базовая стоимость (5 мест, до 50 км, категория I)</t>
        </is>
      </c>
      <c r="B14" s="32" t="n">
        <v>1200000</v>
      </c>
      <c r="C14" s="9" t="n"/>
      <c r="D14" s="9" t="n"/>
    </row>
    <row r="15">
      <c r="A15" s="8" t="inlineStr">
        <is>
          <t>Коэффициент протяжённости Kпр</t>
        </is>
      </c>
      <c r="B15" s="33">
        <f>LOOKUP(B8,'Методика расчёта'!$C$15:$C$19,'Методика расчёта'!$E$15:$E$19)</f>
        <v/>
      </c>
      <c r="C15" s="9" t="n"/>
      <c r="D15" s="9" t="n"/>
    </row>
    <row r="16">
      <c r="A16" s="8" t="inlineStr">
        <is>
          <t>Коэффициент сложности Kсл</t>
        </is>
      </c>
      <c r="B16" s="33">
        <f>VLOOKUP(B9,'Методика расчёта'!$A$23:$E$26,5,FALSE)</f>
        <v/>
      </c>
      <c r="C16" s="9" t="n"/>
      <c r="D16" s="9" t="n"/>
    </row>
    <row r="17">
      <c r="A17" s="8" t="inlineStr">
        <is>
          <t>Стоимость лицензии на сеть  (база × Kпр × Kсл)</t>
        </is>
      </c>
      <c r="B17" s="32">
        <f>B14*B15*B16</f>
        <v/>
      </c>
      <c r="C17" s="9" t="n"/>
      <c r="D17" s="9" t="n"/>
    </row>
    <row r="18">
      <c r="A18" s="8" t="inlineStr">
        <is>
          <t>Дополнительные рабочие места сверх 5</t>
        </is>
      </c>
      <c r="B18" s="34">
        <f>MAX(0,B10-5)</f>
        <v/>
      </c>
      <c r="C18" s="9" t="n"/>
      <c r="D18" s="9" t="n"/>
    </row>
    <row r="19">
      <c r="A19" s="8" t="inlineStr">
        <is>
          <t>Стоимость доп. рабочих мест (× 240 000 ₽)</t>
        </is>
      </c>
      <c r="B19" s="32">
        <f>B18*240000</f>
        <v/>
      </c>
      <c r="C19" s="9" t="n"/>
      <c r="D19" s="9" t="n"/>
    </row>
    <row r="20" ht="30" customHeight="1">
      <c r="A20" s="35" t="inlineStr">
        <is>
          <t>ИТОГО СТОИМОСТЬ ЛИЦЕНЗИИ</t>
        </is>
      </c>
      <c r="B20" s="36">
        <f>B17+B19</f>
        <v/>
      </c>
      <c r="C20" s="37" t="n"/>
      <c r="D20" s="37" t="n"/>
    </row>
    <row r="21">
      <c r="A21" s="8" t="inlineStr">
        <is>
          <t>Средняя стоимость одного рабочего места</t>
        </is>
      </c>
      <c r="B21" s="32">
        <f>B20/MAX(5,B10)</f>
        <v/>
      </c>
      <c r="C21" s="9" t="n"/>
      <c r="D21" s="9" t="n"/>
    </row>
    <row r="22">
      <c r="A22" s="8" t="inlineStr">
        <is>
          <t>НДС</t>
        </is>
      </c>
      <c r="B22" s="38" t="inlineStr">
        <is>
          <t>не облагается (подп. 26 п. 2 ст. 149 НК РФ)</t>
        </is>
      </c>
      <c r="C22" s="9" t="n"/>
      <c r="D22" s="9" t="n"/>
    </row>
    <row r="24" ht="30" customHeight="1">
      <c r="A24" s="25" t="inlineStr">
        <is>
          <t>Расчёт носит предварительный характер. Окончательная стоимость фиксируется в коммерческом предложении после анализа схемы вентиляции предприятия.</t>
        </is>
      </c>
    </row>
    <row r="26">
      <c r="A26" s="20" t="inlineStr">
        <is>
          <t>ООО «ПВ-Система» · Республика Башкортостан, г. Сибай, ул. Куйбышева, д. 20</t>
        </is>
      </c>
      <c r="B26" s="21" t="n"/>
      <c r="C26" s="21" t="n"/>
      <c r="D26" s="21" t="n"/>
    </row>
    <row r="27">
      <c r="A27" s="20" t="inlineStr">
        <is>
          <t>Тел.: +7 (960) 392-42-55, +7 (933) 044-70-17 · pvsistema@mail.ru · пв-система.рф</t>
        </is>
      </c>
      <c r="B27" s="21" t="n"/>
      <c r="C27" s="21" t="n"/>
      <c r="D27" s="21" t="n"/>
    </row>
  </sheetData>
  <mergeCells count="21">
    <mergeCell ref="B14:D14"/>
    <mergeCell ref="B17:D17"/>
    <mergeCell ref="B13:D13"/>
    <mergeCell ref="B19:D19"/>
    <mergeCell ref="C10:D10"/>
    <mergeCell ref="A24:D24"/>
    <mergeCell ref="C9:D9"/>
    <mergeCell ref="B15:D15"/>
    <mergeCell ref="B20:D20"/>
    <mergeCell ref="A6:D6"/>
    <mergeCell ref="B16:D16"/>
    <mergeCell ref="C8:D8"/>
    <mergeCell ref="B3:D3"/>
    <mergeCell ref="A27:D27"/>
    <mergeCell ref="C7:D7"/>
    <mergeCell ref="A12:D12"/>
    <mergeCell ref="B22:D22"/>
    <mergeCell ref="A26:D26"/>
    <mergeCell ref="B18:D18"/>
    <mergeCell ref="B21:D21"/>
    <mergeCell ref="B2:D2"/>
  </mergeCells>
  <dataValidations count="2">
    <dataValidation sqref="B9" showDropDown="0" showInputMessage="0" showErrorMessage="0" allowBlank="0" type="list">
      <formula1>='Методика расчёта'!$A$23:$A$26</formula1>
    </dataValidation>
    <dataValidation sqref="B10" showDropDown="0" showInputMessage="0" showErrorMessage="0" allowBlank="0" type="whole" operator="greaterThanOrEqual">
      <formula1>1</formula1>
    </dataValidation>
  </dataValidations>
  <pageMargins left="0.75" right="0.75" top="1" bottom="1" header="0.5" footer="0.5"/>
  <pageSetup orientation="portrait" fitToHeight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E63B0"/>
    <outlinePr summaryBelow="1" summaryRight="1"/>
    <pageSetUpPr fitToPage="1"/>
  </sheetPr>
  <dimension ref="A1:H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8" customWidth="1" min="3" max="3"/>
    <col width="9" customWidth="1" min="4" max="4"/>
    <col width="9" customWidth="1" min="5" max="5"/>
    <col width="12" customWidth="1" min="6" max="6"/>
    <col width="20" customWidth="1" min="7" max="7"/>
    <col width="20" customWidth="1" min="8" max="8"/>
  </cols>
  <sheetData>
    <row r="1" ht="14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34" customHeight="1">
      <c r="A2" s="1" t="n"/>
      <c r="B2" s="2" t="inlineStr">
        <is>
          <t xml:space="preserve">      ПРИМЕРЫ РАСЧЁТА ДЛЯ ТИПОВЫХ ПРЕДПРИЯТИЙ</t>
        </is>
      </c>
    </row>
    <row r="3" ht="22" customHeight="1">
      <c r="A3" s="1" t="n"/>
      <c r="B3" s="3" t="inlineStr">
        <is>
          <t xml:space="preserve">      Иллюстрация применения методики · все значения рассчитываются формулами</t>
        </is>
      </c>
    </row>
    <row r="4" ht="4" customHeight="1">
      <c r="A4" s="4" t="n"/>
      <c r="B4" s="4" t="n"/>
      <c r="C4" s="4" t="n"/>
      <c r="D4" s="4" t="n"/>
      <c r="E4" s="4" t="n"/>
      <c r="F4" s="4" t="n"/>
      <c r="G4" s="4" t="n"/>
      <c r="H4" s="4" t="n"/>
    </row>
    <row r="6" ht="24" customHeight="1">
      <c r="A6" s="5" t="inlineStr">
        <is>
          <t>Типовые варианты лицензирования</t>
        </is>
      </c>
      <c r="B6" s="6" t="n"/>
      <c r="C6" s="6" t="n"/>
      <c r="D6" s="6" t="n"/>
      <c r="E6" s="6" t="n"/>
      <c r="F6" s="6" t="n"/>
      <c r="G6" s="6" t="n"/>
      <c r="H6" s="6" t="n"/>
    </row>
    <row r="7" ht="30" customHeight="1">
      <c r="A7" s="10" t="inlineStr">
        <is>
          <t>Тип предприятия</t>
        </is>
      </c>
      <c r="B7" s="10" t="inlineStr">
        <is>
          <t>Протяжённость, км</t>
        </is>
      </c>
      <c r="C7" s="10" t="inlineStr">
        <is>
          <t>Категория сложности</t>
        </is>
      </c>
      <c r="D7" s="10" t="inlineStr">
        <is>
          <t>Kпр</t>
        </is>
      </c>
      <c r="E7" s="10" t="inlineStr">
        <is>
          <t>Kсл</t>
        </is>
      </c>
      <c r="F7" s="10" t="inlineStr">
        <is>
          <t>Рабочих мест</t>
        </is>
      </c>
      <c r="G7" s="10" t="inlineStr">
        <is>
          <t>Доп. места, ₽</t>
        </is>
      </c>
      <c r="H7" s="10" t="inlineStr">
        <is>
          <t>Итого, ₽</t>
        </is>
      </c>
    </row>
    <row r="8" ht="26" customHeight="1">
      <c r="A8" s="8" t="inlineStr">
        <is>
          <t>Небольшой рудник</t>
        </is>
      </c>
      <c r="B8" s="39" t="n">
        <v>35</v>
      </c>
      <c r="C8" s="11" t="inlineStr">
        <is>
          <t>I — простая</t>
        </is>
      </c>
      <c r="D8" s="23">
        <f>LOOKUP(B8,'Методика расчёта'!$C$15:$C$19,'Методика расчёта'!$E$15:$E$19)</f>
        <v/>
      </c>
      <c r="E8" s="23">
        <f>VLOOKUP(C8,'Методика расчёта'!$A$23:$E$26,5,FALSE)</f>
        <v/>
      </c>
      <c r="F8" s="39" t="n">
        <v>5</v>
      </c>
      <c r="G8" s="12">
        <f>MAX(0,F8-5)*240000</f>
        <v/>
      </c>
      <c r="H8" s="40">
        <f>1200000*D8*E8+G8</f>
        <v/>
      </c>
    </row>
    <row r="9" ht="26" customHeight="1">
      <c r="A9" s="13" t="inlineStr">
        <is>
          <t>Средний рудник</t>
        </is>
      </c>
      <c r="B9" s="41" t="n">
        <v>80</v>
      </c>
      <c r="C9" s="14" t="inlineStr">
        <is>
          <t>II — средняя</t>
        </is>
      </c>
      <c r="D9" s="24">
        <f>LOOKUP(B9,'Методика расчёта'!$C$15:$C$19,'Методика расчёта'!$E$15:$E$19)</f>
        <v/>
      </c>
      <c r="E9" s="24">
        <f>VLOOKUP(C9,'Методика расчёта'!$A$23:$E$26,5,FALSE)</f>
        <v/>
      </c>
      <c r="F9" s="41" t="n">
        <v>5</v>
      </c>
      <c r="G9" s="15">
        <f>MAX(0,F9-5)*240000</f>
        <v/>
      </c>
      <c r="H9" s="42">
        <f>1200000*D9*E9+G9</f>
        <v/>
      </c>
    </row>
    <row r="10" ht="26" customHeight="1">
      <c r="A10" s="8" t="inlineStr">
        <is>
          <t>Крупный рудник</t>
        </is>
      </c>
      <c r="B10" s="39" t="n">
        <v>150</v>
      </c>
      <c r="C10" s="11" t="inlineStr">
        <is>
          <t>III — сложная</t>
        </is>
      </c>
      <c r="D10" s="23">
        <f>LOOKUP(B10,'Методика расчёта'!$C$15:$C$19,'Методика расчёта'!$E$15:$E$19)</f>
        <v/>
      </c>
      <c r="E10" s="23">
        <f>VLOOKUP(C10,'Методика расчёта'!$A$23:$E$26,5,FALSE)</f>
        <v/>
      </c>
      <c r="F10" s="39" t="n">
        <v>8</v>
      </c>
      <c r="G10" s="12">
        <f>MAX(0,F10-5)*240000</f>
        <v/>
      </c>
      <c r="H10" s="40">
        <f>1200000*D10*E10+G10</f>
        <v/>
      </c>
    </row>
    <row r="11" ht="26" customHeight="1">
      <c r="A11" s="13" t="inlineStr">
        <is>
          <t>Рудник с несколькими шахтными полями</t>
        </is>
      </c>
      <c r="B11" s="41" t="n">
        <v>280</v>
      </c>
      <c r="C11" s="14" t="inlineStr">
        <is>
          <t>III — сложная</t>
        </is>
      </c>
      <c r="D11" s="24">
        <f>LOOKUP(B11,'Методика расчёта'!$C$15:$C$19,'Методика расчёта'!$E$15:$E$19)</f>
        <v/>
      </c>
      <c r="E11" s="24">
        <f>VLOOKUP(C11,'Методика расчёта'!$A$23:$E$26,5,FALSE)</f>
        <v/>
      </c>
      <c r="F11" s="41" t="n">
        <v>10</v>
      </c>
      <c r="G11" s="15">
        <f>MAX(0,F11-5)*240000</f>
        <v/>
      </c>
      <c r="H11" s="42">
        <f>1200000*D11*E11+G11</f>
        <v/>
      </c>
    </row>
    <row r="12" ht="26" customHeight="1">
      <c r="A12" s="8" t="inlineStr">
        <is>
          <t>Горно-обогатительный комбинат</t>
        </is>
      </c>
      <c r="B12" s="39" t="n">
        <v>420</v>
      </c>
      <c r="C12" s="11" t="inlineStr">
        <is>
          <t>IV — особо сложная</t>
        </is>
      </c>
      <c r="D12" s="23">
        <f>LOOKUP(B12,'Методика расчёта'!$C$15:$C$19,'Методика расчёта'!$E$15:$E$19)</f>
        <v/>
      </c>
      <c r="E12" s="23">
        <f>VLOOKUP(C12,'Методика расчёта'!$A$23:$E$26,5,FALSE)</f>
        <v/>
      </c>
      <c r="F12" s="39" t="n">
        <v>15</v>
      </c>
      <c r="G12" s="12">
        <f>MAX(0,F12-5)*240000</f>
        <v/>
      </c>
      <c r="H12" s="40">
        <f>1200000*D12*E12+G12</f>
        <v/>
      </c>
    </row>
    <row r="14" ht="24" customHeight="1">
      <c r="A14" s="5" t="inlineStr">
        <is>
          <t>Сравнение: стандартные позиции прайс-листа</t>
        </is>
      </c>
      <c r="B14" s="6" t="n"/>
      <c r="C14" s="6" t="n"/>
      <c r="D14" s="6" t="n"/>
      <c r="E14" s="6" t="n"/>
      <c r="F14" s="6" t="n"/>
      <c r="G14" s="6" t="n"/>
      <c r="H14" s="6" t="n"/>
    </row>
    <row r="15" ht="30" customHeight="1">
      <c r="A15" s="10" t="inlineStr">
        <is>
          <t>Вариант</t>
        </is>
      </c>
      <c r="B15" s="30" t="n"/>
      <c r="C15" s="30" t="n"/>
      <c r="D15" s="30" t="n"/>
      <c r="E15" s="31" t="n"/>
      <c r="F15" s="10" t="inlineStr">
        <is>
          <t>Рабочих мест</t>
        </is>
      </c>
      <c r="G15" s="10" t="inlineStr">
        <is>
          <t>Цена за место, ₽</t>
        </is>
      </c>
      <c r="H15" s="10" t="inlineStr">
        <is>
          <t>Итого, ₽</t>
        </is>
      </c>
    </row>
    <row r="16" ht="22" customHeight="1">
      <c r="A16" s="8" t="inlineStr">
        <is>
          <t>Лицензионный ключ на одно рабочее место</t>
        </is>
      </c>
      <c r="B16" s="30" t="n"/>
      <c r="C16" s="30" t="n"/>
      <c r="D16" s="30" t="n"/>
      <c r="E16" s="31" t="n"/>
      <c r="F16" s="39" t="n">
        <v>1</v>
      </c>
      <c r="G16" s="12">
        <f>H16/F16</f>
        <v/>
      </c>
      <c r="H16" s="12" t="n">
        <v>240000</v>
      </c>
    </row>
    <row r="17" ht="22" customHeight="1">
      <c r="A17" s="13" t="inlineStr">
        <is>
          <t>Базовый пакет</t>
        </is>
      </c>
      <c r="B17" s="30" t="n"/>
      <c r="C17" s="30" t="n"/>
      <c r="D17" s="30" t="n"/>
      <c r="E17" s="31" t="n"/>
      <c r="F17" s="41" t="n">
        <v>5</v>
      </c>
      <c r="G17" s="15">
        <f>H17/F17</f>
        <v/>
      </c>
      <c r="H17" s="15" t="n">
        <v>1200000</v>
      </c>
    </row>
    <row r="19">
      <c r="A19" s="25" t="inlineStr">
        <is>
          <t>Примеры приведены для иллюстрации методики и не являются публичной офертой.</t>
        </is>
      </c>
    </row>
    <row r="21">
      <c r="A21" s="20" t="inlineStr">
        <is>
          <t>ООО «ПВ-Система» · Республика Башкортостан, г. Сибай, ул. Куйбышева, д. 20</t>
        </is>
      </c>
      <c r="B21" s="21" t="n"/>
      <c r="C21" s="21" t="n"/>
      <c r="D21" s="21" t="n"/>
      <c r="E21" s="21" t="n"/>
      <c r="F21" s="21" t="n"/>
      <c r="G21" s="21" t="n"/>
      <c r="H21" s="21" t="n"/>
    </row>
    <row r="22">
      <c r="A22" s="20" t="inlineStr">
        <is>
          <t>Тел.: +7 (960) 392-42-55, +7 (933) 044-70-17 · pvsistema@mail.ru · пв-система.рф</t>
        </is>
      </c>
      <c r="B22" s="21" t="n"/>
      <c r="C22" s="21" t="n"/>
      <c r="D22" s="21" t="n"/>
      <c r="E22" s="21" t="n"/>
      <c r="F22" s="21" t="n"/>
      <c r="G22" s="21" t="n"/>
      <c r="H22" s="21" t="n"/>
    </row>
  </sheetData>
  <mergeCells count="10">
    <mergeCell ref="A21:H21"/>
    <mergeCell ref="A16:E16"/>
    <mergeCell ref="A15:E15"/>
    <mergeCell ref="B2:H2"/>
    <mergeCell ref="A14:H14"/>
    <mergeCell ref="A19:H19"/>
    <mergeCell ref="B3:H3"/>
    <mergeCell ref="A17:E17"/>
    <mergeCell ref="A6:H6"/>
    <mergeCell ref="A22:H22"/>
  </mergeCells>
  <pageMargins left="0.75" right="0.75" top="1" bottom="1" header="0.5" footer="0.5"/>
  <pageSetup orientation="landscape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ООО «ПВ-Система»</dc:creator>
  <dc:title xmlns:dc="http://purl.org/dc/elements/1.1/">Прайс-лист и расчёт стоимости ПК «ПВ-Система»</dc:title>
  <dcterms:created xmlns:dcterms="http://purl.org/dc/terms/" xmlns:xsi="http://www.w3.org/2001/XMLSchema-instance" xsi:type="dcterms:W3CDTF">2026-10-10T19:28:15Z</dcterms:created>
  <dcterms:modified xmlns:dcterms="http://purl.org/dc/terms/" xmlns:xsi="http://www.w3.org/2001/XMLSchema-instance" xsi:type="dcterms:W3CDTF">2026-10-10T19:28:15Z</dcterms:modified>
</cp:coreProperties>
</file>